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mahadialam/Desktop/Projects/Project 1/"/>
    </mc:Choice>
  </mc:AlternateContent>
  <xr:revisionPtr revIDLastSave="0" documentId="8_{769C4C60-3FD4-D74D-B348-19ED0368D5E9}" xr6:coauthVersionLast="47" xr6:coauthVersionMax="47" xr10:uidLastSave="{00000000-0000-0000-0000-000000000000}"/>
  <bookViews>
    <workbookView xWindow="380" yWindow="500" windowWidth="28040" windowHeight="16120" xr2:uid="{47AA3CF1-A4F3-7A44-8C64-C689F0B734E6}"/>
  </bookViews>
  <sheets>
    <sheet name="README" sheetId="1" r:id="rId1"/>
    <sheet name="Raw Data" sheetId="2" r:id="rId2"/>
    <sheet name="Variance Analysis" sheetId="3" r:id="rId3"/>
    <sheet name="Trend Analysis" sheetId="4" r:id="rId4"/>
    <sheet name="Dashboard" sheetId="5" r:id="rId5"/>
    <sheet name="Management Brief"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 l="1"/>
  <c r="A5" i="3"/>
  <c r="A6" i="3"/>
  <c r="A7" i="3"/>
  <c r="D8" i="4" l="1"/>
  <c r="H8" i="4" s="1"/>
  <c r="B8" i="4"/>
  <c r="D5" i="4"/>
  <c r="D6" i="4"/>
  <c r="D7" i="4"/>
  <c r="D4" i="4"/>
  <c r="H4" i="4" s="1"/>
  <c r="C5" i="4"/>
  <c r="C6" i="4"/>
  <c r="E6" i="4" s="1"/>
  <c r="C7" i="4"/>
  <c r="E7" i="4" s="1"/>
  <c r="C4" i="4"/>
  <c r="E4" i="4" s="1"/>
  <c r="B5" i="4"/>
  <c r="B6" i="4"/>
  <c r="G6" i="4" s="1"/>
  <c r="B7" i="4"/>
  <c r="B4" i="4"/>
  <c r="F6" i="4"/>
  <c r="G4" i="4"/>
  <c r="F4" i="4"/>
  <c r="A7" i="4"/>
  <c r="A5" i="4"/>
  <c r="A6" i="4"/>
  <c r="A4" i="4"/>
  <c r="C5" i="3"/>
  <c r="C6" i="3"/>
  <c r="C7" i="3"/>
  <c r="B5" i="3"/>
  <c r="B6" i="3"/>
  <c r="B7" i="3"/>
  <c r="C4" i="3"/>
  <c r="C8" i="3" s="1"/>
  <c r="B4" i="3"/>
  <c r="B8" i="3" s="1"/>
  <c r="A5" i="5" s="1"/>
  <c r="C8" i="2"/>
  <c r="F8" i="2"/>
  <c r="G8" i="2"/>
  <c r="B8" i="2"/>
  <c r="D5" i="2"/>
  <c r="D5" i="3" s="1"/>
  <c r="D6" i="2"/>
  <c r="D6" i="3" s="1"/>
  <c r="D7" i="2"/>
  <c r="D7" i="3" s="1"/>
  <c r="D4" i="2"/>
  <c r="D4" i="3" s="1"/>
  <c r="C5" i="5" l="1"/>
  <c r="D8" i="3"/>
  <c r="C8" i="4"/>
  <c r="E8" i="4" s="1"/>
  <c r="E7" i="2"/>
  <c r="E7" i="3" s="1"/>
  <c r="E6" i="2"/>
  <c r="E6" i="3" s="1"/>
  <c r="D8" i="2"/>
  <c r="E8" i="2" s="1"/>
  <c r="E4" i="2"/>
  <c r="E4" i="3" s="1"/>
  <c r="E5" i="2"/>
  <c r="E5" i="3" s="1"/>
  <c r="F7" i="4"/>
  <c r="G8" i="4"/>
  <c r="H6" i="4"/>
  <c r="H5" i="4"/>
  <c r="H7" i="4"/>
  <c r="G5" i="4"/>
  <c r="F5" i="4"/>
  <c r="G7" i="4"/>
  <c r="E5" i="4"/>
  <c r="A7" i="5" l="1"/>
  <c r="E8" i="3"/>
  <c r="C7" i="5" s="1"/>
  <c r="F8" i="4"/>
</calcChain>
</file>

<file path=xl/sharedStrings.xml><?xml version="1.0" encoding="utf-8"?>
<sst xmlns="http://schemas.openxmlformats.org/spreadsheetml/2006/main" count="84" uniqueCount="74">
  <si>
    <t xml:space="preserve">Ontario Ministry of Transportation - Budget and Expenditure Analysis </t>
  </si>
  <si>
    <t>Project Overview</t>
  </si>
  <si>
    <t>This project analyzes publicly available Government of Ontario Ministry of Transportation financial data to compare budgeted and actual operating expenditures, identify material variances, examine spending trends, and communicate financial insights to management.</t>
  </si>
  <si>
    <t xml:space="preserve">Objective </t>
  </si>
  <si>
    <t xml:space="preserve">Data Sources </t>
  </si>
  <si>
    <t>Government of Ontario — Ministry of Transportation Expenditure Estimates</t>
  </si>
  <si>
    <t>Public Accounts of Ontario — Ministry Statements and Schedules</t>
  </si>
  <si>
    <t xml:space="preserve">Skills Demonstrated </t>
  </si>
  <si>
    <t>Budget-to-Actual Variance Analysis</t>
  </si>
  <si>
    <t>Expenditure Analysis</t>
  </si>
  <si>
    <t>Financial Reporting</t>
  </si>
  <si>
    <t>Trend Analysis</t>
  </si>
  <si>
    <t>Management Reporting</t>
  </si>
  <si>
    <t>Financial Data Analysis</t>
  </si>
  <si>
    <t>Microsoft Excel</t>
  </si>
  <si>
    <t>Dashboard Development</t>
  </si>
  <si>
    <t xml:space="preserve">Data Note </t>
  </si>
  <si>
    <t>All financial figures in this project are derived from publicly available Government of Ontario sources. This portfolio project is an independent analysis and is not affiliated with or endorsed by the Ontario Public Service or the Ministry of Transportation.</t>
  </si>
  <si>
    <t>MTO OPERATING EXPENDITURE DATA</t>
  </si>
  <si>
    <t>Program</t>
  </si>
  <si>
    <t>2024–25 Actual</t>
  </si>
  <si>
    <t>Variance $</t>
  </si>
  <si>
    <t>Variance %</t>
  </si>
  <si>
    <t>2025–26 Estimate</t>
  </si>
  <si>
    <t>2026–27 Estimate</t>
  </si>
  <si>
    <t>Ministry Administration Program</t>
  </si>
  <si>
    <t>Transit</t>
  </si>
  <si>
    <t>Transportation Infrastructure Management</t>
  </si>
  <si>
    <t>Integrated Policy and Planning</t>
  </si>
  <si>
    <t>2024–25 Original Estimate</t>
  </si>
  <si>
    <t xml:space="preserve">TOTAL - Selected Programs </t>
  </si>
  <si>
    <t>Source Note</t>
  </si>
  <si>
    <t>MTO 2024–25 OPERATING EXPENDITURE VARIANCE ANALYSIS</t>
  </si>
  <si>
    <t>Original Estimate</t>
  </si>
  <si>
    <t>Actual Expenditure</t>
  </si>
  <si>
    <t>TOTAL — SELECTED PROGRAMS</t>
  </si>
  <si>
    <t>MTO OPERATING EXPENDITURE TREND ANALYSIS</t>
  </si>
  <si>
    <t>2025–26 Growth %</t>
  </si>
  <si>
    <t>2026–27 Growth %</t>
  </si>
  <si>
    <t>2-Year Change $</t>
  </si>
  <si>
    <t>2-Year Change %</t>
  </si>
  <si>
    <t>MTO SELECTED PROGRAMS — FINANCIAL MANAGEMENT BRIEF</t>
  </si>
  <si>
    <t xml:space="preserve">Purpose </t>
  </si>
  <si>
    <t>Summarize financial performance across selected Ministry of Transportation operating programs using publicly available Government of Ontario expenditure data, highlighting material budget variances and expenditure trends.</t>
  </si>
  <si>
    <t>Key Financial Results</t>
  </si>
  <si>
    <r>
      <t>2024–25 actual expenditures for selected programs:</t>
    </r>
    <r>
      <rPr>
        <sz val="12"/>
        <color theme="1"/>
        <rFont val="Aptos Narrow"/>
        <family val="2"/>
        <scheme val="minor"/>
      </rPr>
      <t xml:space="preserve"> $1.665B</t>
    </r>
  </si>
  <si>
    <r>
      <t>2024–25 original estimates for selected programs:</t>
    </r>
    <r>
      <rPr>
        <sz val="12"/>
        <color theme="1"/>
        <rFont val="Aptos Narrow"/>
        <family val="2"/>
        <scheme val="minor"/>
      </rPr>
      <t xml:space="preserve"> $1.135B</t>
    </r>
  </si>
  <si>
    <r>
      <t>Variance versus original estimate:</t>
    </r>
    <r>
      <rPr>
        <sz val="12"/>
        <color theme="1"/>
        <rFont val="Aptos Narrow"/>
        <family val="2"/>
        <scheme val="minor"/>
      </rPr>
      <t xml:space="preserve"> +$529.7M (+46.7%)</t>
    </r>
  </si>
  <si>
    <r>
      <t>2025–26 restated estimate:</t>
    </r>
    <r>
      <rPr>
        <sz val="12"/>
        <color theme="1"/>
        <rFont val="Aptos Narrow"/>
        <family val="2"/>
        <scheme val="minor"/>
      </rPr>
      <t xml:space="preserve"> $1.234B</t>
    </r>
  </si>
  <si>
    <r>
      <t>2026–27 estimate:</t>
    </r>
    <r>
      <rPr>
        <sz val="12"/>
        <color theme="1"/>
        <rFont val="Aptos Narrow"/>
        <family val="2"/>
        <scheme val="minor"/>
      </rPr>
      <t xml:space="preserve"> $1.398B</t>
    </r>
  </si>
  <si>
    <r>
      <t>2026–27 estimate vs 2024–25 actual:</t>
    </r>
    <r>
      <rPr>
        <sz val="12"/>
        <color theme="1"/>
        <rFont val="Aptos Narrow"/>
        <family val="2"/>
        <scheme val="minor"/>
      </rPr>
      <t xml:space="preserve"> -16.0%</t>
    </r>
  </si>
  <si>
    <t>Key Findings</t>
  </si>
  <si>
    <r>
      <t>Transit was the primary driver of the 2024–25 variance</t>
    </r>
    <r>
      <rPr>
        <sz val="12"/>
        <color theme="1"/>
        <rFont val="Aptos Narrow"/>
        <family val="2"/>
        <scheme val="minor"/>
      </rPr>
      <t>, with actual expenditures approximately $528.0M above the original estimate. This accounts for nearly all of the $529.7M aggregate variance across the selected programs.</t>
    </r>
  </si>
  <si>
    <r>
      <t>Ministry Administration also finished above its original estimate</t>
    </r>
    <r>
      <rPr>
        <sz val="12"/>
        <color theme="1"/>
        <rFont val="Aptos Narrow"/>
        <family val="2"/>
        <scheme val="minor"/>
      </rPr>
      <t>, with an $8.4M or 20.0% variance.</t>
    </r>
  </si>
  <si>
    <r>
      <t>Transportation Infrastructure Management and Integrated Policy and Planning finished below their original estimates</t>
    </r>
    <r>
      <rPr>
        <sz val="12"/>
        <color theme="1"/>
        <rFont val="Aptos Narrow"/>
        <family val="2"/>
        <scheme val="minor"/>
      </rPr>
      <t>, by approximately $5.3M and $1.4M respectively.</t>
    </r>
  </si>
  <si>
    <r>
      <t>Planned expenditures recover in 2026–27 after the lower 2025–26 restated estimate</t>
    </r>
    <r>
      <rPr>
        <sz val="12"/>
        <color theme="1"/>
        <rFont val="Aptos Narrow"/>
        <family val="2"/>
        <scheme val="minor"/>
      </rPr>
      <t>, with selected-program spending increasing from approximately $1.234B to $1.398B, or about 13.3%</t>
    </r>
  </si>
  <si>
    <t>Management Considerations</t>
  </si>
  <si>
    <t>&gt; Investigate the factors underlying the material Transit variance and distinguish changes in approved spending authority from actual expenditure performance.</t>
  </si>
  <si>
    <t>&gt; Continue monitoring programs with significant year-over-year changes to understand whether expenditure growth reflects recurring or temporary pressures.</t>
  </si>
  <si>
    <t>&gt; Use program-level variance and trend reporting to support future budget planning, expenditure monitoring and management decision-making.</t>
  </si>
  <si>
    <t>This analysis covers selected MTO operating programs and should not be interpreted as a complete analysis of total Ministry expenditure. All source data is publicly available Government of Ontario information</t>
  </si>
  <si>
    <r>
      <t>Scope Note</t>
    </r>
    <r>
      <rPr>
        <u/>
        <sz val="12"/>
        <color theme="1"/>
        <rFont val="Aptos Narrow"/>
        <family val="2"/>
        <scheme val="minor"/>
      </rPr>
      <t>,</t>
    </r>
  </si>
  <si>
    <t>Materiality classification is an analytical convention developed for this portfolio: High ≥20%, Medium 10%–19.9%, Low &lt;10%; it does not represent an official OPS materiality policy</t>
  </si>
  <si>
    <t>Materialistic Note</t>
  </si>
  <si>
    <t xml:space="preserve">Official Sources </t>
  </si>
  <si>
    <t>https://www.ontario.ca/page/expenditure-estimates-ministry-transportation-2024-25</t>
  </si>
  <si>
    <t>https://www.ontario.ca/page/expenditure-estimates-ministry-transportation-2026-2027</t>
  </si>
  <si>
    <t>https://www.ontario.ca/page/public-accounts-2024-25-ministry-statements-and-schedules</t>
  </si>
  <si>
    <t>Compare 2024–25 original operating expenditure estimates with actual expenditures across four selected Ontario Ministry of Transportation programs and identify the largest dollar and percentage variances.</t>
  </si>
  <si>
    <t>ONTARIO MTO — BUDGET VS ACTUAL EXPENDITURE ANALYSIS</t>
  </si>
  <si>
    <t>2024–25 | Four Selected Operating Programs</t>
  </si>
  <si>
    <t>ORIGINAL ESTIMATE</t>
  </si>
  <si>
    <t>Variance</t>
  </si>
  <si>
    <t>2024–25 original estimates are from the Government of Ontario. MTO 2024–25 Expenditure Estimates 2024–25 actuals and 2025–26/2026–27 comparative estimates are from the MTO 2026–27.   Expenditure Estimates. Figures represent operating expense for selected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</si>
</sst>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0.00,,,&quot;B&quot;"/>
    <numFmt numFmtId="166" formatCode="\+&quot;$&quot;0.0,,&quot;M&quot;;\-&quot;$&quot;0.0,,&quot;M&quot;"/>
    <numFmt numFmtId="167" formatCode="\+0.0%;\-0.0%"/>
  </numFmts>
  <fonts count="20" x14ac:knownFonts="1">
    <font>
      <sz val="12"/>
      <color theme="1"/>
      <name val="Aptos Narrow"/>
      <family val="2"/>
      <scheme val="minor"/>
    </font>
    <font>
      <sz val="12"/>
      <color theme="1"/>
      <name val="Aptos Narrow"/>
      <family val="2"/>
      <scheme val="minor"/>
    </font>
    <font>
      <b/>
      <sz val="12"/>
      <color theme="1"/>
      <name val="Aptos Narrow"/>
      <family val="2"/>
      <scheme val="minor"/>
    </font>
    <font>
      <b/>
      <sz val="18"/>
      <color theme="1"/>
      <name val="Aptos Narrow"/>
      <scheme val="minor"/>
    </font>
    <font>
      <b/>
      <sz val="12"/>
      <color theme="1"/>
      <name val="Aptos Narrow"/>
      <scheme val="minor"/>
    </font>
    <font>
      <sz val="10"/>
      <color theme="1"/>
      <name val="Arial Unicode MS"/>
      <family val="2"/>
    </font>
    <font>
      <u/>
      <sz val="12"/>
      <color theme="1"/>
      <name val="Aptos Narrow"/>
      <family val="2"/>
      <scheme val="minor"/>
    </font>
    <font>
      <b/>
      <u/>
      <sz val="12"/>
      <color theme="1"/>
      <name val="Aptos Narrow"/>
      <scheme val="minor"/>
    </font>
    <font>
      <b/>
      <u/>
      <sz val="12"/>
      <color theme="1"/>
      <name val="Aptos Narrow"/>
      <family val="2"/>
      <scheme val="minor"/>
    </font>
    <font>
      <u/>
      <sz val="12"/>
      <color theme="10"/>
      <name val="Aptos Narrow"/>
      <family val="2"/>
      <scheme val="minor"/>
    </font>
    <font>
      <sz val="18"/>
      <color theme="1"/>
      <name val="Aptos Narrow"/>
      <scheme val="minor"/>
    </font>
    <font>
      <sz val="12"/>
      <color theme="0"/>
      <name val="Aptos Narrow"/>
      <family val="2"/>
      <scheme val="minor"/>
    </font>
    <font>
      <b/>
      <u/>
      <sz val="18"/>
      <color theme="0"/>
      <name val="Aptos Narrow"/>
      <scheme val="minor"/>
    </font>
    <font>
      <b/>
      <sz val="12"/>
      <color theme="0"/>
      <name val="Aptos Narrow"/>
      <scheme val="minor"/>
    </font>
    <font>
      <b/>
      <u/>
      <sz val="16"/>
      <color theme="0"/>
      <name val="Aptos Narrow"/>
      <scheme val="minor"/>
    </font>
    <font>
      <sz val="12"/>
      <color theme="0"/>
      <name val="Aptos Narrow"/>
      <scheme val="minor"/>
    </font>
    <font>
      <sz val="12"/>
      <color theme="1"/>
      <name val="Aptos Narrow"/>
      <scheme val="minor"/>
    </font>
    <font>
      <u/>
      <sz val="12"/>
      <color theme="1"/>
      <name val="Aptos Narrow"/>
      <scheme val="minor"/>
    </font>
    <font>
      <b/>
      <u/>
      <sz val="12"/>
      <color theme="0"/>
      <name val="Aptos Narrow"/>
      <scheme val="minor"/>
    </font>
    <font>
      <b/>
      <sz val="18"/>
      <color theme="0"/>
      <name val="Aptos Narrow (Body)"/>
    </font>
  </fonts>
  <fills count="5">
    <fill>
      <patternFill patternType="none"/>
    </fill>
    <fill>
      <patternFill patternType="gray125"/>
    </fill>
    <fill>
      <patternFill patternType="solid">
        <fgColor theme="2"/>
        <bgColor indexed="64"/>
      </patternFill>
    </fill>
    <fill>
      <patternFill patternType="solid">
        <fgColor theme="3" tint="0.249977111117893"/>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56">
    <xf numFmtId="0" fontId="0" fillId="0" borderId="0" xfId="0"/>
    <xf numFmtId="0" fontId="4" fillId="0" borderId="0" xfId="0" applyFont="1"/>
    <xf numFmtId="0" fontId="5" fillId="0" borderId="0" xfId="0" applyFont="1"/>
    <xf numFmtId="3" fontId="0" fillId="0" borderId="0" xfId="0" applyNumberFormat="1"/>
    <xf numFmtId="0" fontId="0" fillId="0" borderId="0" xfId="0" applyAlignment="1">
      <alignment vertical="top"/>
    </xf>
    <xf numFmtId="0" fontId="2" fillId="0" borderId="0" xfId="0" applyFont="1"/>
    <xf numFmtId="0" fontId="7" fillId="0" borderId="0" xfId="0" applyFont="1"/>
    <xf numFmtId="0" fontId="8" fillId="0" borderId="0" xfId="0" applyFont="1"/>
    <xf numFmtId="0" fontId="9" fillId="0" borderId="0" xfId="2"/>
    <xf numFmtId="3" fontId="10" fillId="0" borderId="0" xfId="0" applyNumberFormat="1" applyFont="1" applyAlignment="1">
      <alignment horizontal="left"/>
    </xf>
    <xf numFmtId="3" fontId="3" fillId="0" borderId="0" xfId="0" applyNumberFormat="1" applyFont="1"/>
    <xf numFmtId="167" fontId="3" fillId="0" borderId="0" xfId="0" applyNumberFormat="1" applyFont="1"/>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wrapText="1"/>
    </xf>
    <xf numFmtId="3" fontId="3" fillId="2" borderId="1" xfId="0" applyNumberFormat="1" applyFont="1" applyFill="1" applyBorder="1" applyAlignment="1">
      <alignment horizontal="center"/>
    </xf>
    <xf numFmtId="3" fontId="3" fillId="2" borderId="2" xfId="0" applyNumberFormat="1" applyFont="1" applyFill="1" applyBorder="1" applyAlignment="1">
      <alignment horizontal="center"/>
    </xf>
    <xf numFmtId="166" fontId="3" fillId="2" borderId="3" xfId="0" applyNumberFormat="1" applyFont="1" applyFill="1" applyBorder="1" applyAlignment="1">
      <alignment horizontal="center"/>
    </xf>
    <xf numFmtId="166" fontId="3" fillId="2" borderId="4" xfId="0" applyNumberFormat="1" applyFont="1" applyFill="1" applyBorder="1" applyAlignment="1">
      <alignment horizontal="center"/>
    </xf>
    <xf numFmtId="167" fontId="3" fillId="2" borderId="3" xfId="0" applyNumberFormat="1" applyFont="1" applyFill="1" applyBorder="1" applyAlignment="1">
      <alignment horizontal="center"/>
    </xf>
    <xf numFmtId="167" fontId="3" fillId="2" borderId="4" xfId="0" applyNumberFormat="1" applyFont="1" applyFill="1" applyBorder="1" applyAlignment="1">
      <alignment horizontal="center"/>
    </xf>
    <xf numFmtId="0" fontId="0" fillId="0" borderId="0" xfId="0" applyAlignment="1">
      <alignment horizontal="left"/>
    </xf>
    <xf numFmtId="165" fontId="3" fillId="2" borderId="3" xfId="0" applyNumberFormat="1" applyFont="1" applyFill="1" applyBorder="1" applyAlignment="1">
      <alignment horizontal="center"/>
    </xf>
    <xf numFmtId="165" fontId="3" fillId="2" borderId="4" xfId="0" applyNumberFormat="1" applyFont="1" applyFill="1" applyBorder="1" applyAlignment="1">
      <alignment horizontal="center"/>
    </xf>
    <xf numFmtId="0" fontId="7" fillId="0" borderId="0" xfId="0" applyFont="1" applyAlignment="1">
      <alignment horizontal="left"/>
    </xf>
    <xf numFmtId="0" fontId="3" fillId="0" borderId="0" xfId="0" applyFont="1" applyAlignment="1">
      <alignment horizontal="left"/>
    </xf>
    <xf numFmtId="0" fontId="2" fillId="0" borderId="0" xfId="0" applyFont="1" applyAlignment="1">
      <alignment horizontal="left" wrapText="1"/>
    </xf>
    <xf numFmtId="0" fontId="12" fillId="3" borderId="6" xfId="0" applyFont="1" applyFill="1" applyBorder="1" applyAlignment="1">
      <alignment horizontal="left"/>
    </xf>
    <xf numFmtId="0" fontId="12" fillId="3" borderId="7" xfId="0" applyFont="1" applyFill="1" applyBorder="1" applyAlignment="1">
      <alignment horizontal="left"/>
    </xf>
    <xf numFmtId="0" fontId="12" fillId="3" borderId="8" xfId="0" applyFont="1" applyFill="1" applyBorder="1" applyAlignment="1">
      <alignment horizontal="left"/>
    </xf>
    <xf numFmtId="0" fontId="13" fillId="3" borderId="0" xfId="0" applyFont="1" applyFill="1"/>
    <xf numFmtId="0" fontId="13" fillId="3" borderId="5" xfId="0" applyFont="1" applyFill="1" applyBorder="1" applyAlignment="1">
      <alignment horizontal="left"/>
    </xf>
    <xf numFmtId="0" fontId="13" fillId="3" borderId="5" xfId="0" applyFont="1" applyFill="1" applyBorder="1"/>
    <xf numFmtId="0" fontId="15" fillId="3" borderId="0" xfId="0" applyFont="1" applyFill="1"/>
    <xf numFmtId="0" fontId="14" fillId="3" borderId="6" xfId="0" applyFont="1" applyFill="1" applyBorder="1" applyAlignment="1">
      <alignment horizontal="left"/>
    </xf>
    <xf numFmtId="0" fontId="15" fillId="3" borderId="8" xfId="0" applyFont="1" applyFill="1" applyBorder="1"/>
    <xf numFmtId="0" fontId="18" fillId="3" borderId="5" xfId="0" applyFont="1" applyFill="1" applyBorder="1"/>
    <xf numFmtId="0" fontId="16" fillId="4" borderId="5" xfId="0" applyFont="1" applyFill="1" applyBorder="1"/>
    <xf numFmtId="3" fontId="16" fillId="4" borderId="5" xfId="0" applyNumberFormat="1" applyFont="1" applyFill="1" applyBorder="1"/>
    <xf numFmtId="164" fontId="16" fillId="4" borderId="5" xfId="1" applyNumberFormat="1" applyFont="1" applyFill="1" applyBorder="1"/>
    <xf numFmtId="3" fontId="17" fillId="4" borderId="5" xfId="0" applyNumberFormat="1" applyFont="1" applyFill="1" applyBorder="1"/>
    <xf numFmtId="164" fontId="17" fillId="4" borderId="5" xfId="1" applyNumberFormat="1" applyFont="1" applyFill="1" applyBorder="1"/>
    <xf numFmtId="0" fontId="4" fillId="4" borderId="5" xfId="0" applyFont="1" applyFill="1" applyBorder="1"/>
    <xf numFmtId="10" fontId="16" fillId="4" borderId="5" xfId="1" applyNumberFormat="1" applyFont="1" applyFill="1" applyBorder="1"/>
    <xf numFmtId="0" fontId="14" fillId="3" borderId="0" xfId="0" applyFont="1" applyFill="1"/>
    <xf numFmtId="0" fontId="0" fillId="0" borderId="5" xfId="0" applyBorder="1"/>
    <xf numFmtId="3" fontId="0" fillId="0" borderId="5" xfId="0" applyNumberFormat="1" applyBorder="1"/>
    <xf numFmtId="10" fontId="0" fillId="0" borderId="5" xfId="1" applyNumberFormat="1" applyFont="1" applyBorder="1"/>
    <xf numFmtId="3" fontId="6" fillId="0" borderId="5" xfId="0" applyNumberFormat="1" applyFont="1" applyBorder="1"/>
    <xf numFmtId="10" fontId="6" fillId="0" borderId="5" xfId="1" applyNumberFormat="1" applyFont="1" applyBorder="1"/>
    <xf numFmtId="0" fontId="6" fillId="0" borderId="5" xfId="0" applyFont="1" applyBorder="1"/>
    <xf numFmtId="0" fontId="4" fillId="0" borderId="5" xfId="0" applyFont="1" applyBorder="1"/>
    <xf numFmtId="3" fontId="4" fillId="0" borderId="5" xfId="0" applyNumberFormat="1" applyFont="1" applyBorder="1"/>
    <xf numFmtId="10" fontId="4" fillId="0" borderId="5" xfId="1" applyNumberFormat="1" applyFont="1" applyBorder="1"/>
    <xf numFmtId="0" fontId="19" fillId="3" borderId="0" xfId="0" applyFont="1" applyFill="1" applyAlignment="1">
      <alignment horizontal="left"/>
    </xf>
    <xf numFmtId="0" fontId="11" fillId="3" borderId="0" xfId="0" applyFont="1" applyFill="1" applyAlignment="1">
      <alignment horizontal="lef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Original Estimate</a:t>
            </a:r>
            <a:r>
              <a:rPr lang="en-US" baseline="0"/>
              <a:t> vs Actual Expenditure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'Variance Analysis'!$B$3</c:f>
              <c:strCache>
                <c:ptCount val="1"/>
                <c:pt idx="0">
                  <c:v>Original Estimate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'Variance Analysis'!$A$4:$A$7</c:f>
              <c:strCache>
                <c:ptCount val="4"/>
                <c:pt idx="0">
                  <c:v>Ministry Administration Program</c:v>
                </c:pt>
                <c:pt idx="1">
                  <c:v>Transit</c:v>
                </c:pt>
                <c:pt idx="2">
                  <c:v>Transportation Infrastructure Management</c:v>
                </c:pt>
                <c:pt idx="3">
                  <c:v>Integrated Policy and Planning</c:v>
                </c:pt>
              </c:strCache>
            </c:strRef>
          </c:cat>
          <c:val>
            <c:numRef>
              <c:f>'Variance Analysis'!$B$4:$B$7</c:f>
              <c:numCache>
                <c:formatCode>#,##0</c:formatCode>
                <c:ptCount val="4"/>
                <c:pt idx="0">
                  <c:v>42218000</c:v>
                </c:pt>
                <c:pt idx="1">
                  <c:v>1008659500</c:v>
                </c:pt>
                <c:pt idx="2">
                  <c:v>56293000</c:v>
                </c:pt>
                <c:pt idx="3">
                  <c:v>28185600</c:v>
                </c:pt>
              </c:numCache>
            </c:numRef>
          </c:val>
          <c:extLst>
            <c:ext xmlns:c16="http://schemas.microsoft.com/office/drawing/2014/chart" uri="{C3380CC4-5D6E-409C-BE32-E72D297353CC}">
              <c16:uniqueId val="{00000000-3F60-2D4B-A59D-ED5AD42FB916}"/>
            </c:ext>
          </c:extLst>
        </c:ser>
        <c:ser>
          <c:idx val="1"/>
          <c:order val="1"/>
          <c:tx>
            <c:strRef>
              <c:f>'Variance Analysis'!$C$3</c:f>
              <c:strCache>
                <c:ptCount val="1"/>
                <c:pt idx="0">
                  <c:v>Actual Expenditure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'Variance Analysis'!$A$4:$A$7</c:f>
              <c:strCache>
                <c:ptCount val="4"/>
                <c:pt idx="0">
                  <c:v>Ministry Administration Program</c:v>
                </c:pt>
                <c:pt idx="1">
                  <c:v>Transit</c:v>
                </c:pt>
                <c:pt idx="2">
                  <c:v>Transportation Infrastructure Management</c:v>
                </c:pt>
                <c:pt idx="3">
                  <c:v>Integrated Policy and Planning</c:v>
                </c:pt>
              </c:strCache>
            </c:strRef>
          </c:cat>
          <c:val>
            <c:numRef>
              <c:f>'Variance Analysis'!$C$4:$C$7</c:f>
              <c:numCache>
                <c:formatCode>#,##0</c:formatCode>
                <c:ptCount val="4"/>
                <c:pt idx="0">
                  <c:v>50654835</c:v>
                </c:pt>
                <c:pt idx="1">
                  <c:v>1536664997</c:v>
                </c:pt>
                <c:pt idx="2">
                  <c:v>51009817</c:v>
                </c:pt>
                <c:pt idx="3">
                  <c:v>26764689</c:v>
                </c:pt>
              </c:numCache>
            </c:numRef>
          </c:val>
          <c:extLst>
            <c:ext xmlns:c16="http://schemas.microsoft.com/office/drawing/2014/chart" uri="{C3380CC4-5D6E-409C-BE32-E72D297353CC}">
              <c16:uniqueId val="{00000001-3F60-2D4B-A59D-ED5AD42FB916}"/>
            </c:ext>
          </c:extLst>
        </c:ser>
        <c:dLbls>
          <c:dLblPos val="outEnd"/>
          <c:showLegendKey val="0"/>
          <c:showVal val="1"/>
          <c:showCatName val="0"/>
          <c:showSerName val="0"/>
          <c:showPercent val="0"/>
          <c:showBubbleSize val="0"/>
        </c:dLbls>
        <c:gapWidth val="182"/>
        <c:axId val="330743279"/>
        <c:axId val="415853391"/>
      </c:barChart>
      <c:catAx>
        <c:axId val="33074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53391"/>
        <c:crosses val="autoZero"/>
        <c:auto val="1"/>
        <c:lblAlgn val="ctr"/>
        <c:lblOffset val="100"/>
        <c:noMultiLvlLbl val="0"/>
      </c:catAx>
      <c:valAx>
        <c:axId val="4158533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743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37354</xdr:colOff>
      <xdr:row>8</xdr:row>
      <xdr:rowOff>0</xdr:rowOff>
    </xdr:from>
    <xdr:to>
      <xdr:col>3</xdr:col>
      <xdr:colOff>2614706</xdr:colOff>
      <xdr:row>24</xdr:row>
      <xdr:rowOff>0</xdr:rowOff>
    </xdr:to>
    <xdr:graphicFrame macro="">
      <xdr:nvGraphicFramePr>
        <xdr:cNvPr id="4" name="Chart 3">
          <a:extLst>
            <a:ext uri="{FF2B5EF4-FFF2-40B4-BE49-F238E27FC236}">
              <a16:creationId xmlns:a16="http://schemas.microsoft.com/office/drawing/2014/main" id="{9DF74AC2-83EF-334B-AD3F-564AA489F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tario.ca/page/public-accounts-2024-25-ministry-statements-and-schedules" TargetMode="External"/><Relationship Id="rId2" Type="http://schemas.openxmlformats.org/officeDocument/2006/relationships/hyperlink" Target="https://www.ontario.ca/page/expenditure-estimates-ministry-transportation-2026-2027" TargetMode="External"/><Relationship Id="rId1" Type="http://schemas.openxmlformats.org/officeDocument/2006/relationships/hyperlink" Target="https://www.ontario.ca/page/expenditure-estimates-ministry-transportation-2024-25"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03243-0AD4-A844-889C-32FF31AB9AAF}">
  <dimension ref="A1:G41"/>
  <sheetViews>
    <sheetView showGridLines="0" tabSelected="1" zoomScale="67" workbookViewId="0">
      <selection activeCell="E25" sqref="E25"/>
    </sheetView>
  </sheetViews>
  <sheetFormatPr baseColWidth="10" defaultRowHeight="16" x14ac:dyDescent="0.2"/>
  <cols>
    <col min="1" max="1" width="28.83203125" customWidth="1"/>
    <col min="5" max="5" width="14.83203125" customWidth="1"/>
    <col min="6" max="6" width="21.83203125" customWidth="1"/>
    <col min="13" max="13" width="23.1640625" customWidth="1"/>
  </cols>
  <sheetData>
    <row r="1" spans="1:7" ht="24" x14ac:dyDescent="0.3">
      <c r="A1" s="27" t="s">
        <v>0</v>
      </c>
      <c r="B1" s="28"/>
      <c r="C1" s="28"/>
      <c r="D1" s="28"/>
      <c r="E1" s="28"/>
      <c r="F1" s="29"/>
    </row>
    <row r="3" spans="1:7" x14ac:dyDescent="0.2">
      <c r="A3" s="31" t="s">
        <v>1</v>
      </c>
      <c r="B3" s="1"/>
    </row>
    <row r="4" spans="1:7" x14ac:dyDescent="0.2">
      <c r="A4" s="14" t="s">
        <v>2</v>
      </c>
      <c r="B4" s="14"/>
      <c r="C4" s="14"/>
      <c r="D4" s="14"/>
      <c r="E4" s="14"/>
      <c r="F4" s="14"/>
    </row>
    <row r="5" spans="1:7" x14ac:dyDescent="0.2">
      <c r="A5" s="14"/>
      <c r="B5" s="14"/>
      <c r="C5" s="14"/>
      <c r="D5" s="14"/>
      <c r="E5" s="14"/>
      <c r="F5" s="14"/>
    </row>
    <row r="8" spans="1:7" x14ac:dyDescent="0.2">
      <c r="A8" s="32" t="s">
        <v>3</v>
      </c>
    </row>
    <row r="9" spans="1:7" ht="16" customHeight="1" x14ac:dyDescent="0.2">
      <c r="A9" s="13" t="s">
        <v>68</v>
      </c>
      <c r="B9" s="13"/>
      <c r="C9" s="13"/>
      <c r="D9" s="13"/>
      <c r="E9" s="13"/>
      <c r="F9" s="13"/>
      <c r="G9" s="13"/>
    </row>
    <row r="10" spans="1:7" x14ac:dyDescent="0.2">
      <c r="A10" s="13"/>
      <c r="B10" s="13"/>
      <c r="C10" s="13"/>
      <c r="D10" s="13"/>
      <c r="E10" s="13"/>
      <c r="F10" s="13"/>
      <c r="G10" s="13"/>
    </row>
    <row r="13" spans="1:7" x14ac:dyDescent="0.2">
      <c r="A13" s="32" t="s">
        <v>64</v>
      </c>
    </row>
    <row r="14" spans="1:7" x14ac:dyDescent="0.2">
      <c r="A14" s="8" t="s">
        <v>65</v>
      </c>
    </row>
    <row r="15" spans="1:7" x14ac:dyDescent="0.2">
      <c r="A15" s="8" t="s">
        <v>66</v>
      </c>
    </row>
    <row r="16" spans="1:7" x14ac:dyDescent="0.2">
      <c r="A16" s="8" t="s">
        <v>67</v>
      </c>
    </row>
    <row r="19" spans="1:1" x14ac:dyDescent="0.2">
      <c r="A19" s="30" t="s">
        <v>4</v>
      </c>
    </row>
    <row r="20" spans="1:1" x14ac:dyDescent="0.2">
      <c r="A20" t="s">
        <v>5</v>
      </c>
    </row>
    <row r="21" spans="1:1" x14ac:dyDescent="0.2">
      <c r="A21" t="s">
        <v>6</v>
      </c>
    </row>
    <row r="24" spans="1:1" x14ac:dyDescent="0.2">
      <c r="A24" s="30" t="s">
        <v>7</v>
      </c>
    </row>
    <row r="25" spans="1:1" x14ac:dyDescent="0.2">
      <c r="A25" t="s">
        <v>8</v>
      </c>
    </row>
    <row r="26" spans="1:1" ht="17" customHeight="1" x14ac:dyDescent="0.25">
      <c r="A26" s="2" t="s">
        <v>9</v>
      </c>
    </row>
    <row r="27" spans="1:1" ht="17" customHeight="1" x14ac:dyDescent="0.25">
      <c r="A27" s="2" t="s">
        <v>10</v>
      </c>
    </row>
    <row r="28" spans="1:1" ht="17" customHeight="1" x14ac:dyDescent="0.25">
      <c r="A28" s="2" t="s">
        <v>11</v>
      </c>
    </row>
    <row r="29" spans="1:1" ht="17" customHeight="1" x14ac:dyDescent="0.25">
      <c r="A29" s="2" t="s">
        <v>12</v>
      </c>
    </row>
    <row r="30" spans="1:1" ht="17" customHeight="1" x14ac:dyDescent="0.25">
      <c r="A30" s="2" t="s">
        <v>13</v>
      </c>
    </row>
    <row r="31" spans="1:1" ht="17" customHeight="1" x14ac:dyDescent="0.25">
      <c r="A31" s="2" t="s">
        <v>14</v>
      </c>
    </row>
    <row r="32" spans="1:1" ht="17" customHeight="1" x14ac:dyDescent="0.25">
      <c r="A32" s="2" t="s">
        <v>15</v>
      </c>
    </row>
    <row r="34" spans="1:6" x14ac:dyDescent="0.2">
      <c r="A34" s="30" t="s">
        <v>16</v>
      </c>
    </row>
    <row r="35" spans="1:6" x14ac:dyDescent="0.2">
      <c r="A35" s="12" t="s">
        <v>17</v>
      </c>
      <c r="B35" s="12"/>
      <c r="C35" s="12"/>
      <c r="D35" s="12"/>
      <c r="E35" s="12"/>
      <c r="F35" s="12"/>
    </row>
    <row r="36" spans="1:6" x14ac:dyDescent="0.2">
      <c r="A36" s="12"/>
      <c r="B36" s="12"/>
      <c r="C36" s="12"/>
      <c r="D36" s="12"/>
      <c r="E36" s="12"/>
      <c r="F36" s="12"/>
    </row>
    <row r="37" spans="1:6" x14ac:dyDescent="0.2">
      <c r="A37" s="12"/>
      <c r="B37" s="12"/>
      <c r="C37" s="12"/>
      <c r="D37" s="12"/>
      <c r="E37" s="12"/>
      <c r="F37" s="12"/>
    </row>
    <row r="39" spans="1:6" x14ac:dyDescent="0.2">
      <c r="A39" s="30" t="s">
        <v>63</v>
      </c>
    </row>
    <row r="40" spans="1:6" x14ac:dyDescent="0.2">
      <c r="A40" s="13" t="s">
        <v>62</v>
      </c>
      <c r="B40" s="13"/>
      <c r="C40" s="13"/>
      <c r="D40" s="13"/>
      <c r="E40" s="13"/>
      <c r="F40" s="13"/>
    </row>
    <row r="41" spans="1:6" x14ac:dyDescent="0.2">
      <c r="A41" s="13"/>
      <c r="B41" s="13"/>
      <c r="C41" s="13"/>
      <c r="D41" s="13"/>
      <c r="E41" s="13"/>
      <c r="F41" s="13"/>
    </row>
  </sheetData>
  <mergeCells count="5">
    <mergeCell ref="A35:F37"/>
    <mergeCell ref="A9:G10"/>
    <mergeCell ref="A40:F41"/>
    <mergeCell ref="A1:F1"/>
    <mergeCell ref="A4:F5"/>
  </mergeCells>
  <hyperlinks>
    <hyperlink ref="A14" r:id="rId1" xr:uid="{FB59B36B-5B54-9B44-AA92-80DEEED8494D}"/>
    <hyperlink ref="A15" r:id="rId2" xr:uid="{4FFCAAF0-0620-C24E-B469-88DE320DCC3C}"/>
    <hyperlink ref="A16" r:id="rId3" xr:uid="{8884A6F2-CD07-064A-B981-A6514E3BEB3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5ED7-9E45-BE4C-AE85-530DED7110FA}">
  <dimension ref="A1:H14"/>
  <sheetViews>
    <sheetView showGridLines="0" workbookViewId="0">
      <selection activeCell="B15" sqref="B15"/>
    </sheetView>
  </sheetViews>
  <sheetFormatPr baseColWidth="10" defaultRowHeight="16" x14ac:dyDescent="0.2"/>
  <cols>
    <col min="1" max="1" width="34.5" customWidth="1"/>
    <col min="2" max="2" width="26.83203125" customWidth="1"/>
    <col min="3" max="4" width="15.5" customWidth="1"/>
    <col min="6" max="6" width="24" customWidth="1"/>
    <col min="7" max="7" width="17.33203125" customWidth="1"/>
  </cols>
  <sheetData>
    <row r="1" spans="1:8" ht="22" x14ac:dyDescent="0.3">
      <c r="A1" s="34" t="s">
        <v>18</v>
      </c>
      <c r="B1" s="35"/>
    </row>
    <row r="3" spans="1:8" x14ac:dyDescent="0.2">
      <c r="A3" s="36" t="s">
        <v>19</v>
      </c>
      <c r="B3" s="36" t="s">
        <v>29</v>
      </c>
      <c r="C3" s="36" t="s">
        <v>20</v>
      </c>
      <c r="D3" s="36" t="s">
        <v>21</v>
      </c>
      <c r="E3" s="36" t="s">
        <v>22</v>
      </c>
      <c r="F3" s="36" t="s">
        <v>23</v>
      </c>
      <c r="G3" s="36" t="s">
        <v>24</v>
      </c>
    </row>
    <row r="4" spans="1:8" x14ac:dyDescent="0.2">
      <c r="A4" s="37" t="s">
        <v>25</v>
      </c>
      <c r="B4" s="38">
        <v>42218000</v>
      </c>
      <c r="C4" s="38">
        <v>50654835</v>
      </c>
      <c r="D4" s="38">
        <f>C4-B4</f>
        <v>8436835</v>
      </c>
      <c r="E4" s="39">
        <f>D4/B4</f>
        <v>0.19983976029181866</v>
      </c>
      <c r="F4" s="38">
        <v>55604000</v>
      </c>
      <c r="G4" s="38">
        <v>60151700</v>
      </c>
    </row>
    <row r="5" spans="1:8" x14ac:dyDescent="0.2">
      <c r="A5" s="37" t="s">
        <v>26</v>
      </c>
      <c r="B5" s="38">
        <v>1008659500</v>
      </c>
      <c r="C5" s="38">
        <v>1536664997</v>
      </c>
      <c r="D5" s="38">
        <f t="shared" ref="D5:D7" si="0">C5-B5</f>
        <v>528005497</v>
      </c>
      <c r="E5" s="39">
        <f t="shared" ref="E5:E7" si="1">D5/B5</f>
        <v>0.52347248699883364</v>
      </c>
      <c r="F5" s="38">
        <v>1060136800</v>
      </c>
      <c r="G5" s="38">
        <v>1219816200</v>
      </c>
      <c r="H5" s="3"/>
    </row>
    <row r="6" spans="1:8" x14ac:dyDescent="0.2">
      <c r="A6" s="37" t="s">
        <v>27</v>
      </c>
      <c r="B6" s="38">
        <v>56293000</v>
      </c>
      <c r="C6" s="38">
        <v>51009817</v>
      </c>
      <c r="D6" s="38">
        <f t="shared" si="0"/>
        <v>-5283183</v>
      </c>
      <c r="E6" s="39">
        <f t="shared" si="1"/>
        <v>-9.3851509068623093E-2</v>
      </c>
      <c r="F6" s="38">
        <v>85663600</v>
      </c>
      <c r="G6" s="38">
        <v>83937900</v>
      </c>
      <c r="H6" s="3"/>
    </row>
    <row r="7" spans="1:8" x14ac:dyDescent="0.2">
      <c r="A7" s="37" t="s">
        <v>28</v>
      </c>
      <c r="B7" s="40">
        <v>28185600</v>
      </c>
      <c r="C7" s="40">
        <v>26764689</v>
      </c>
      <c r="D7" s="40">
        <f t="shared" si="0"/>
        <v>-1420911</v>
      </c>
      <c r="E7" s="41">
        <f t="shared" si="1"/>
        <v>-5.0412657527247953E-2</v>
      </c>
      <c r="F7" s="40">
        <v>32707300</v>
      </c>
      <c r="G7" s="40">
        <v>34332800</v>
      </c>
      <c r="H7" s="3"/>
    </row>
    <row r="8" spans="1:8" x14ac:dyDescent="0.2">
      <c r="A8" s="42" t="s">
        <v>30</v>
      </c>
      <c r="B8" s="38">
        <f>SUM(B4:B7)</f>
        <v>1135356100</v>
      </c>
      <c r="C8" s="38">
        <f t="shared" ref="C8:G8" si="2">SUM(C4:C7)</f>
        <v>1665094338</v>
      </c>
      <c r="D8" s="38">
        <f t="shared" si="2"/>
        <v>529738238</v>
      </c>
      <c r="E8" s="43">
        <f>D8/B8</f>
        <v>0.46658333715739053</v>
      </c>
      <c r="F8" s="38">
        <f t="shared" si="2"/>
        <v>1234111700</v>
      </c>
      <c r="G8" s="38">
        <f t="shared" si="2"/>
        <v>1398238600</v>
      </c>
    </row>
    <row r="11" spans="1:8" x14ac:dyDescent="0.2">
      <c r="A11" s="30" t="s">
        <v>31</v>
      </c>
    </row>
    <row r="12" spans="1:8" ht="16" customHeight="1" x14ac:dyDescent="0.2">
      <c r="A12" s="12" t="s">
        <v>73</v>
      </c>
      <c r="B12" s="12"/>
      <c r="C12" s="12"/>
      <c r="D12" s="12"/>
      <c r="E12" s="12"/>
      <c r="F12" s="4"/>
    </row>
    <row r="13" spans="1:8" x14ac:dyDescent="0.2">
      <c r="A13" s="12"/>
      <c r="B13" s="12"/>
      <c r="C13" s="12"/>
      <c r="D13" s="12"/>
      <c r="E13" s="12"/>
      <c r="F13" s="4"/>
    </row>
    <row r="14" spans="1:8" x14ac:dyDescent="0.2">
      <c r="A14" s="12"/>
      <c r="B14" s="12"/>
      <c r="C14" s="12"/>
      <c r="D14" s="12"/>
      <c r="E14" s="12"/>
      <c r="F14" s="4"/>
    </row>
  </sheetData>
  <mergeCells count="1">
    <mergeCell ref="A12:E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12438-2F88-984D-9C30-B01F19B988C5}">
  <dimension ref="A1:H8"/>
  <sheetViews>
    <sheetView showGridLines="0" zoomScale="88" workbookViewId="0">
      <selection activeCell="C20" sqref="C20"/>
    </sheetView>
  </sheetViews>
  <sheetFormatPr baseColWidth="10" defaultRowHeight="16" x14ac:dyDescent="0.2"/>
  <cols>
    <col min="1" max="1" width="35.5" customWidth="1"/>
    <col min="2" max="2" width="16.5" customWidth="1"/>
    <col min="3" max="3" width="16.33203125" customWidth="1"/>
    <col min="4" max="4" width="13.83203125" customWidth="1"/>
    <col min="5" max="5" width="11" bestFit="1" customWidth="1"/>
    <col min="6" max="6" width="20.1640625" customWidth="1"/>
    <col min="8" max="8" width="18.6640625" customWidth="1"/>
  </cols>
  <sheetData>
    <row r="1" spans="1:8" ht="22" x14ac:dyDescent="0.3">
      <c r="A1" s="44" t="s">
        <v>32</v>
      </c>
      <c r="B1" s="33"/>
      <c r="C1" s="33"/>
    </row>
    <row r="3" spans="1:8" x14ac:dyDescent="0.2">
      <c r="A3" s="36" t="s">
        <v>19</v>
      </c>
      <c r="B3" s="36" t="s">
        <v>33</v>
      </c>
      <c r="C3" s="36" t="s">
        <v>34</v>
      </c>
      <c r="D3" s="36" t="s">
        <v>21</v>
      </c>
      <c r="E3" s="36" t="s">
        <v>22</v>
      </c>
      <c r="F3" s="6"/>
      <c r="G3" s="6"/>
      <c r="H3" s="6"/>
    </row>
    <row r="4" spans="1:8" x14ac:dyDescent="0.2">
      <c r="A4" s="45" t="str">
        <f>'Raw Data'!A4</f>
        <v>Ministry Administration Program</v>
      </c>
      <c r="B4" s="46">
        <f>'Raw Data'!B4</f>
        <v>42218000</v>
      </c>
      <c r="C4" s="46">
        <f>'Raw Data'!C4</f>
        <v>50654835</v>
      </c>
      <c r="D4" s="46">
        <f>'Raw Data'!D4</f>
        <v>8436835</v>
      </c>
      <c r="E4" s="47">
        <f>'Raw Data'!E4</f>
        <v>0.19983976029181866</v>
      </c>
    </row>
    <row r="5" spans="1:8" x14ac:dyDescent="0.2">
      <c r="A5" s="45" t="str">
        <f>'Raw Data'!A5</f>
        <v>Transit</v>
      </c>
      <c r="B5" s="46">
        <f>'Raw Data'!B5</f>
        <v>1008659500</v>
      </c>
      <c r="C5" s="46">
        <f>'Raw Data'!C5</f>
        <v>1536664997</v>
      </c>
      <c r="D5" s="46">
        <f>'Raw Data'!D5</f>
        <v>528005497</v>
      </c>
      <c r="E5" s="47">
        <f>'Raw Data'!E5</f>
        <v>0.52347248699883364</v>
      </c>
    </row>
    <row r="6" spans="1:8" x14ac:dyDescent="0.2">
      <c r="A6" s="45" t="str">
        <f>'Raw Data'!A6</f>
        <v>Transportation Infrastructure Management</v>
      </c>
      <c r="B6" s="46">
        <f>'Raw Data'!B6</f>
        <v>56293000</v>
      </c>
      <c r="C6" s="46">
        <f>'Raw Data'!C6</f>
        <v>51009817</v>
      </c>
      <c r="D6" s="46">
        <f>'Raw Data'!D6</f>
        <v>-5283183</v>
      </c>
      <c r="E6" s="47">
        <f>'Raw Data'!E6</f>
        <v>-9.3851509068623093E-2</v>
      </c>
    </row>
    <row r="7" spans="1:8" x14ac:dyDescent="0.2">
      <c r="A7" s="45" t="str">
        <f>'Raw Data'!A7</f>
        <v>Integrated Policy and Planning</v>
      </c>
      <c r="B7" s="46">
        <f>'Raw Data'!B7</f>
        <v>28185600</v>
      </c>
      <c r="C7" s="46">
        <f>'Raw Data'!C7</f>
        <v>26764689</v>
      </c>
      <c r="D7" s="46">
        <f>'Raw Data'!D7</f>
        <v>-1420911</v>
      </c>
      <c r="E7" s="47">
        <f>'Raw Data'!E7</f>
        <v>-5.0412657527247953E-2</v>
      </c>
    </row>
    <row r="8" spans="1:8" x14ac:dyDescent="0.2">
      <c r="A8" s="45" t="s">
        <v>35</v>
      </c>
      <c r="B8" s="46">
        <f>SUM(B4:B7)</f>
        <v>1135356100</v>
      </c>
      <c r="C8" s="46">
        <f>SUM(C4:C7)</f>
        <v>1665094338</v>
      </c>
      <c r="D8" s="46">
        <f>C8-B8</f>
        <v>529738238</v>
      </c>
      <c r="E8" s="47">
        <f>D8/B8</f>
        <v>0.46658333715739053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A83A-4506-7D43-96E9-3A91D0852712}">
  <dimension ref="A1:H8"/>
  <sheetViews>
    <sheetView showGridLines="0" workbookViewId="0">
      <selection activeCell="B13" sqref="B13"/>
    </sheetView>
  </sheetViews>
  <sheetFormatPr baseColWidth="10" defaultRowHeight="16" x14ac:dyDescent="0.2"/>
  <cols>
    <col min="1" max="1" width="37.83203125" customWidth="1"/>
    <col min="2" max="2" width="16.5" customWidth="1"/>
    <col min="3" max="3" width="23.83203125" customWidth="1"/>
    <col min="4" max="4" width="15.1640625" customWidth="1"/>
    <col min="5" max="5" width="16.6640625" customWidth="1"/>
    <col min="6" max="6" width="17.1640625" customWidth="1"/>
    <col min="7" max="7" width="14.33203125" customWidth="1"/>
    <col min="8" max="8" width="16.5" customWidth="1"/>
  </cols>
  <sheetData>
    <row r="1" spans="1:8" ht="22" x14ac:dyDescent="0.3">
      <c r="A1" s="44" t="s">
        <v>36</v>
      </c>
      <c r="B1" s="33"/>
    </row>
    <row r="3" spans="1:8" x14ac:dyDescent="0.2">
      <c r="A3" s="32" t="s">
        <v>19</v>
      </c>
      <c r="B3" s="32" t="s">
        <v>20</v>
      </c>
      <c r="C3" s="32" t="s">
        <v>23</v>
      </c>
      <c r="D3" s="32" t="s">
        <v>24</v>
      </c>
      <c r="E3" s="32" t="s">
        <v>37</v>
      </c>
      <c r="F3" s="32" t="s">
        <v>38</v>
      </c>
      <c r="G3" s="32" t="s">
        <v>39</v>
      </c>
      <c r="H3" s="32" t="s">
        <v>40</v>
      </c>
    </row>
    <row r="4" spans="1:8" x14ac:dyDescent="0.2">
      <c r="A4" s="45" t="str">
        <f>'Raw Data'!A4</f>
        <v>Ministry Administration Program</v>
      </c>
      <c r="B4" s="46">
        <f>'Raw Data'!C4</f>
        <v>50654835</v>
      </c>
      <c r="C4" s="46">
        <f>'Raw Data'!F4</f>
        <v>55604000</v>
      </c>
      <c r="D4" s="46">
        <f>'Raw Data'!G4</f>
        <v>60151700</v>
      </c>
      <c r="E4" s="47">
        <f>(C4-B4)/B4</f>
        <v>9.7703703901118225E-2</v>
      </c>
      <c r="F4" s="47">
        <f>(D4-C4)/C4</f>
        <v>8.1787281490540251E-2</v>
      </c>
      <c r="G4" s="45">
        <f>D4-B4</f>
        <v>9496865</v>
      </c>
      <c r="H4" s="47">
        <f>(D4-B4)/B4</f>
        <v>0.18748190572528761</v>
      </c>
    </row>
    <row r="5" spans="1:8" x14ac:dyDescent="0.2">
      <c r="A5" s="45" t="str">
        <f>'Raw Data'!A5</f>
        <v>Transit</v>
      </c>
      <c r="B5" s="46">
        <f>'Raw Data'!C5</f>
        <v>1536664997</v>
      </c>
      <c r="C5" s="46">
        <f>'Raw Data'!F5</f>
        <v>1060136800</v>
      </c>
      <c r="D5" s="46">
        <f>'Raw Data'!G5</f>
        <v>1219816200</v>
      </c>
      <c r="E5" s="47">
        <f t="shared" ref="E5:E7" si="0">(C5-B5)/B5</f>
        <v>-0.31010545429896325</v>
      </c>
      <c r="F5" s="47">
        <f t="shared" ref="F5:F7" si="1">(D5-C5)/C5</f>
        <v>0.15062150469637503</v>
      </c>
      <c r="G5" s="45">
        <f t="shared" ref="G5:G6" si="2">D5-B5</f>
        <v>-316848797</v>
      </c>
      <c r="H5" s="47">
        <f t="shared" ref="H5:H6" si="3">(D5-B5)/B5</f>
        <v>-0.20619249974365103</v>
      </c>
    </row>
    <row r="6" spans="1:8" x14ac:dyDescent="0.2">
      <c r="A6" s="45" t="str">
        <f>'Raw Data'!A6</f>
        <v>Transportation Infrastructure Management</v>
      </c>
      <c r="B6" s="46">
        <f>'Raw Data'!C6</f>
        <v>51009817</v>
      </c>
      <c r="C6" s="46">
        <f>'Raw Data'!F6</f>
        <v>85663600</v>
      </c>
      <c r="D6" s="46">
        <f>'Raw Data'!G6</f>
        <v>83937900</v>
      </c>
      <c r="E6" s="47">
        <f t="shared" si="0"/>
        <v>0.67935517196621187</v>
      </c>
      <c r="F6" s="47">
        <f t="shared" si="1"/>
        <v>-2.0145079123455003E-2</v>
      </c>
      <c r="G6" s="45">
        <f t="shared" si="2"/>
        <v>32928083</v>
      </c>
      <c r="H6" s="47">
        <f t="shared" si="3"/>
        <v>0.64552442915056918</v>
      </c>
    </row>
    <row r="7" spans="1:8" x14ac:dyDescent="0.2">
      <c r="A7" s="45" t="str">
        <f>'Raw Data'!A7</f>
        <v>Integrated Policy and Planning</v>
      </c>
      <c r="B7" s="48">
        <f>'Raw Data'!C7</f>
        <v>26764689</v>
      </c>
      <c r="C7" s="48">
        <f>'Raw Data'!F7</f>
        <v>32707300</v>
      </c>
      <c r="D7" s="48">
        <f>'Raw Data'!G7</f>
        <v>34332800</v>
      </c>
      <c r="E7" s="49">
        <f t="shared" si="0"/>
        <v>0.22203175983102214</v>
      </c>
      <c r="F7" s="49">
        <f t="shared" si="1"/>
        <v>4.9698385375741803E-2</v>
      </c>
      <c r="G7" s="50">
        <f>D7-B7</f>
        <v>7568111</v>
      </c>
      <c r="H7" s="49">
        <f>(D7-B7)/B7</f>
        <v>0.28276476517250021</v>
      </c>
    </row>
    <row r="8" spans="1:8" x14ac:dyDescent="0.2">
      <c r="A8" s="51" t="s">
        <v>35</v>
      </c>
      <c r="B8" s="52">
        <f>SUM(B4:B7)</f>
        <v>1665094338</v>
      </c>
      <c r="C8" s="52">
        <f>SUM(C4:C7)</f>
        <v>1234111700</v>
      </c>
      <c r="D8" s="52">
        <f>SUM(D4:D7)</f>
        <v>1398238600</v>
      </c>
      <c r="E8" s="53">
        <f>(C8-B8)/B8</f>
        <v>-0.25883376584996831</v>
      </c>
      <c r="F8" s="53">
        <f>(D8-C8)/C8</f>
        <v>0.13299193257790198</v>
      </c>
      <c r="G8" s="52">
        <f>D8-B8</f>
        <v>-266855738</v>
      </c>
      <c r="H8" s="53">
        <f>(D8-B8)/B8</f>
        <v>-0.16026463600886978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69AA-DBA6-4142-9C6B-1AC94E30B609}">
  <dimension ref="A1:H7"/>
  <sheetViews>
    <sheetView showGridLines="0" workbookViewId="0">
      <selection activeCell="B30" sqref="B30"/>
    </sheetView>
  </sheetViews>
  <sheetFormatPr baseColWidth="10" defaultRowHeight="16" x14ac:dyDescent="0.2"/>
  <cols>
    <col min="2" max="2" width="45.33203125" customWidth="1"/>
    <col min="4" max="4" width="36.83203125" customWidth="1"/>
    <col min="5" max="5" width="0.1640625" customWidth="1"/>
    <col min="6" max="6" width="18.83203125" hidden="1" customWidth="1"/>
    <col min="7" max="7" width="30.83203125" hidden="1" customWidth="1"/>
    <col min="8" max="8" width="0.1640625" hidden="1" customWidth="1"/>
  </cols>
  <sheetData>
    <row r="1" spans="1:8" ht="24" x14ac:dyDescent="0.3">
      <c r="A1" s="54" t="s">
        <v>69</v>
      </c>
      <c r="B1" s="55"/>
      <c r="C1" s="55"/>
      <c r="D1" s="55"/>
      <c r="E1" s="55"/>
      <c r="F1" s="55"/>
      <c r="G1" s="55"/>
      <c r="H1" s="55"/>
    </row>
    <row r="2" spans="1:8" x14ac:dyDescent="0.2">
      <c r="A2" s="21" t="s">
        <v>70</v>
      </c>
      <c r="B2" s="21"/>
      <c r="C2" s="21"/>
      <c r="D2" s="21"/>
      <c r="E2" s="21"/>
      <c r="F2" s="21"/>
      <c r="G2" s="21"/>
      <c r="H2" s="21"/>
    </row>
    <row r="3" spans="1:8" x14ac:dyDescent="0.2">
      <c r="A3" s="24"/>
      <c r="B3" s="24"/>
      <c r="C3" s="24"/>
      <c r="D3" s="24"/>
      <c r="E3" s="24"/>
      <c r="F3" s="24"/>
      <c r="G3" s="24"/>
      <c r="H3" s="24"/>
    </row>
    <row r="4" spans="1:8" ht="24" x14ac:dyDescent="0.3">
      <c r="A4" s="15" t="s">
        <v>71</v>
      </c>
      <c r="B4" s="16"/>
      <c r="C4" s="15" t="s">
        <v>34</v>
      </c>
      <c r="D4" s="16"/>
      <c r="E4" s="9"/>
      <c r="F4" s="9"/>
      <c r="G4" s="10"/>
      <c r="H4" s="10"/>
    </row>
    <row r="5" spans="1:8" ht="24" x14ac:dyDescent="0.3">
      <c r="A5" s="22">
        <f>'Variance Analysis'!B8</f>
        <v>1135356100</v>
      </c>
      <c r="B5" s="23"/>
      <c r="C5" s="22">
        <f>'Variance Analysis'!C8</f>
        <v>1665094338</v>
      </c>
      <c r="D5" s="23"/>
      <c r="E5" s="9"/>
      <c r="F5" s="9"/>
      <c r="G5" s="11"/>
      <c r="H5" s="11"/>
    </row>
    <row r="6" spans="1:8" ht="24" x14ac:dyDescent="0.3">
      <c r="A6" s="15" t="s">
        <v>72</v>
      </c>
      <c r="B6" s="16"/>
      <c r="C6" s="15" t="s">
        <v>22</v>
      </c>
      <c r="D6" s="16"/>
    </row>
    <row r="7" spans="1:8" ht="24" x14ac:dyDescent="0.3">
      <c r="A7" s="17">
        <f>'Variance Analysis'!D8</f>
        <v>529738238</v>
      </c>
      <c r="B7" s="18"/>
      <c r="C7" s="19">
        <f>'Variance Analysis'!E8</f>
        <v>0.46658333715739053</v>
      </c>
      <c r="D7" s="20"/>
    </row>
  </sheetData>
  <mergeCells count="14">
    <mergeCell ref="A1:H1"/>
    <mergeCell ref="A3:B3"/>
    <mergeCell ref="A4:B4"/>
    <mergeCell ref="C3:D3"/>
    <mergeCell ref="C4:D4"/>
    <mergeCell ref="E3:F3"/>
    <mergeCell ref="G3:H3"/>
    <mergeCell ref="A6:B6"/>
    <mergeCell ref="A7:B7"/>
    <mergeCell ref="C6:D6"/>
    <mergeCell ref="C7:D7"/>
    <mergeCell ref="A2:H2"/>
    <mergeCell ref="A5:B5"/>
    <mergeCell ref="C5:D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82EFA-60B3-2247-9987-E59F9FAF8995}">
  <dimension ref="A1:G29"/>
  <sheetViews>
    <sheetView zoomScale="75" workbookViewId="0">
      <selection sqref="A1:F1"/>
    </sheetView>
  </sheetViews>
  <sheetFormatPr baseColWidth="10" defaultRowHeight="16" x14ac:dyDescent="0.2"/>
  <cols>
    <col min="1" max="1" width="13.83203125" customWidth="1"/>
    <col min="2" max="2" width="13.6640625" customWidth="1"/>
    <col min="3" max="3" width="13.33203125" customWidth="1"/>
    <col min="6" max="6" width="29" customWidth="1"/>
  </cols>
  <sheetData>
    <row r="1" spans="1:7" ht="24" x14ac:dyDescent="0.3">
      <c r="A1" s="25" t="s">
        <v>41</v>
      </c>
      <c r="B1" s="25"/>
      <c r="C1" s="25"/>
      <c r="D1" s="25"/>
      <c r="E1" s="25"/>
      <c r="F1" s="25"/>
    </row>
    <row r="3" spans="1:7" x14ac:dyDescent="0.2">
      <c r="A3" s="6" t="s">
        <v>42</v>
      </c>
    </row>
    <row r="4" spans="1:7" x14ac:dyDescent="0.2">
      <c r="A4" s="13" t="s">
        <v>43</v>
      </c>
      <c r="B4" s="13"/>
      <c r="C4" s="13"/>
      <c r="D4" s="13"/>
      <c r="E4" s="13"/>
      <c r="F4" s="13"/>
      <c r="G4" s="13"/>
    </row>
    <row r="5" spans="1:7" x14ac:dyDescent="0.2">
      <c r="A5" s="13"/>
      <c r="B5" s="13"/>
      <c r="C5" s="13"/>
      <c r="D5" s="13"/>
      <c r="E5" s="13"/>
      <c r="F5" s="13"/>
      <c r="G5" s="13"/>
    </row>
    <row r="7" spans="1:7" x14ac:dyDescent="0.2">
      <c r="A7" s="6" t="s">
        <v>44</v>
      </c>
    </row>
    <row r="8" spans="1:7" x14ac:dyDescent="0.2">
      <c r="A8" s="5" t="s">
        <v>45</v>
      </c>
    </row>
    <row r="9" spans="1:7" x14ac:dyDescent="0.2">
      <c r="A9" s="5" t="s">
        <v>46</v>
      </c>
    </row>
    <row r="10" spans="1:7" x14ac:dyDescent="0.2">
      <c r="A10" s="5" t="s">
        <v>47</v>
      </c>
    </row>
    <row r="11" spans="1:7" x14ac:dyDescent="0.2">
      <c r="A11" s="5" t="s">
        <v>48</v>
      </c>
    </row>
    <row r="12" spans="1:7" x14ac:dyDescent="0.2">
      <c r="A12" s="5" t="s">
        <v>49</v>
      </c>
    </row>
    <row r="13" spans="1:7" x14ac:dyDescent="0.2">
      <c r="A13" s="5" t="s">
        <v>50</v>
      </c>
    </row>
    <row r="15" spans="1:7" x14ac:dyDescent="0.2">
      <c r="A15" s="6" t="s">
        <v>51</v>
      </c>
    </row>
    <row r="16" spans="1:7" x14ac:dyDescent="0.2">
      <c r="A16" s="26" t="s">
        <v>52</v>
      </c>
      <c r="B16" s="26"/>
      <c r="C16" s="26"/>
      <c r="D16" s="26"/>
      <c r="E16" s="26"/>
      <c r="F16" s="26"/>
    </row>
    <row r="17" spans="1:6" x14ac:dyDescent="0.2">
      <c r="A17" s="26"/>
      <c r="B17" s="26"/>
      <c r="C17" s="26"/>
      <c r="D17" s="26"/>
      <c r="E17" s="26"/>
      <c r="F17" s="26"/>
    </row>
    <row r="18" spans="1:6" x14ac:dyDescent="0.2">
      <c r="A18" s="5" t="s">
        <v>53</v>
      </c>
    </row>
    <row r="19" spans="1:6" x14ac:dyDescent="0.2">
      <c r="A19" s="5" t="s">
        <v>54</v>
      </c>
    </row>
    <row r="20" spans="1:6" x14ac:dyDescent="0.2">
      <c r="A20" s="5" t="s">
        <v>55</v>
      </c>
    </row>
    <row r="23" spans="1:6" x14ac:dyDescent="0.2">
      <c r="A23" s="6" t="s">
        <v>56</v>
      </c>
    </row>
    <row r="24" spans="1:6" x14ac:dyDescent="0.2">
      <c r="A24" t="s">
        <v>57</v>
      </c>
    </row>
    <row r="25" spans="1:6" x14ac:dyDescent="0.2">
      <c r="A25" t="s">
        <v>58</v>
      </c>
    </row>
    <row r="26" spans="1:6" x14ac:dyDescent="0.2">
      <c r="A26" t="s">
        <v>59</v>
      </c>
    </row>
    <row r="28" spans="1:6" x14ac:dyDescent="0.2">
      <c r="A28" s="7" t="s">
        <v>61</v>
      </c>
    </row>
    <row r="29" spans="1:6" x14ac:dyDescent="0.2">
      <c r="A29" t="s">
        <v>60</v>
      </c>
    </row>
  </sheetData>
  <mergeCells count="3">
    <mergeCell ref="A1:F1"/>
    <mergeCell ref="A4:G5"/>
    <mergeCell ref="A16:F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Raw Data</vt:lpstr>
      <vt:lpstr>Variance Analysis</vt:lpstr>
      <vt:lpstr>Trend Analysis</vt:lpstr>
      <vt:lpstr>Dashboard</vt:lpstr>
      <vt:lpstr>Management 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Mahadi Alam</dc:creator>
  <cp:lastModifiedBy>Mahadi Alam</cp:lastModifiedBy>
  <dcterms:created xsi:type="dcterms:W3CDTF">2026-09-08T07:04:10Z</dcterms:created>
  <dcterms:modified xsi:type="dcterms:W3CDTF">2026-09-10T04:34:13Z</dcterms:modified>
</cp:coreProperties>
</file>